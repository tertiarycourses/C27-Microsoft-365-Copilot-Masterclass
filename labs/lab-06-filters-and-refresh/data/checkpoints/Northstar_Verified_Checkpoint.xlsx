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Dashboard" sheetId="7" state="visible" r:id="rId7"/>
    <sheet xmlns:r="http://schemas.openxmlformats.org/officeDocument/2006/relationships" name="Filter_Lists" sheetId="8" state="hidden" r:id="rId8"/>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6"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Work orders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Work orders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Work orders by site</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Before testing filters, report the baseline Northstar Water Services dashboard source, date and scope. Confirm 120 unique work orders and all four selectors All. Identify the baseline file that must remain untouched when making the refresh-test copy.</t>
        </is>
      </c>
    </row>
    <row r="3">
      <c r="A3" s="2" t="inlineStr">
        <is>
          <t>Step 2</t>
        </is>
      </c>
      <c r="B3" s="2" t="inlineStr">
        <is>
          <t>EXCEL - PLAN</t>
        </is>
      </c>
      <c r="C3" s="2" t="inlineStr">
        <is>
          <t>EXCEL - PLAN:
Make Dashboard B2:B5 control all six KPIs and three chart summaries with AND logic. All bypasses its dimension. Use COUNTIFS/SUMIFS or SUMPRODUCT with structured table references. Blank owner means unassigned and must not disappear from All. Keep N/A for no closed jobs.
EXCEL - ALLOW EDITING:
Apply the reviewed filter plan and dropdown lists. Keep existing source rows and chart positions. Show the selected scope beside the reporting date and make all charts recalculate from the same selected rows.</t>
        </is>
      </c>
    </row>
    <row r="4">
      <c r="A4" s="2" t="inlineStr">
        <is>
          <t>Step 3</t>
        </is>
      </c>
      <c r="B4" s="2" t="inlineStr">
        <is>
          <t>EXCEL - CHAT ONLY</t>
        </is>
      </c>
      <c r="C4" s="2" t="inlineStr">
        <is>
          <t>EXCEL - CHAT ONLY:
For the dashboard selection Site = Woodlands Hub and all other dimensions All, list the expected six KPI values from tblWorkOrders and verify each chart sum matches the selected total. Do not infer that filtering the worksheet automatically changes formula measures.</t>
        </is>
      </c>
    </row>
    <row r="5">
      <c r="A5" s="2" t="inlineStr">
        <is>
          <t>Step 4</t>
        </is>
      </c>
      <c r="B5" s="2" t="inlineStr">
        <is>
          <t>EXCEL - CHAT ONLY</t>
        </is>
      </c>
      <c r="C5" s="2" t="inlineStr">
        <is>
          <t>EXCEL - CHAT ONLY:
Check two dashboard edge cases without changing source data: Status New with other selectors All; then Site Woodlands Hub, Job_Category Leak Repair, Assigned_To Daniel Lee, Status All. Verify zero closed gives N/A and no selected rows gives zero count/cost with N/A rate. Show how all charts follow the same selection. Restore all selectors to All.</t>
        </is>
      </c>
    </row>
    <row r="6">
      <c r="A6" s="2" t="inlineStr">
        <is>
          <t>Step 6</t>
        </is>
      </c>
      <c r="B6" s="2" t="inlineStr">
        <is>
          <t>EXCEL - CHAT ONLY</t>
        </is>
      </c>
      <c r="C6" s="2" t="inlineStr">
        <is>
          <t>EXCEL - CHAT ONLY:
Verify the sandbox append test for the two new work orders. Reconcile total 122, closed 49, backlog 61, overdue increased by 1, cost increased by S$400 and on-time numerator increased by 1. Confirm no original source record changed and all three charts total 122 with All selections. Compare original IDs, statuses, owners, dates and costs to the saved baseline; all original 120 rows must match.</t>
        </is>
      </c>
    </row>
    <row r="7">
      <c r="A7" s="2" t="inlineStr">
        <is>
          <t>Step 7</t>
        </is>
      </c>
      <c r="B7" s="2" t="inlineStr">
        <is>
          <t>WORD COPILOT</t>
        </is>
      </c>
      <c r="C7" s="2" t="inlineStr">
        <is>
          <t>WORD COPILOT:
Using only the verified baseline dashboard evidence I paste here, prepare the frozen Northstar Water Services presentation snapshot. Include reporting date, All scope, 120-row baseline, six KPIs, chart values, source workbook link and limitations. Exclude the 122-row sandbox. Keep proposed priorities separate from observed facts.</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Northstar Maintenance Dashboard</t>
        </is>
      </c>
      <c r="B1" s="1" t="inlineStr">
        <is>
          <t>Selection</t>
        </is>
      </c>
      <c r="C1" s="1" t="inlineStr">
        <is>
          <t>As at</t>
        </is>
      </c>
      <c r="D1" s="1" t="inlineStr">
        <is>
          <t>2026-09-30</t>
        </is>
      </c>
    </row>
    <row r="2">
      <c r="A2" s="2" t="inlineStr">
        <is>
          <t>Site</t>
        </is>
      </c>
      <c r="B2" s="2" t="inlineStr">
        <is>
          <t>All</t>
        </is>
      </c>
      <c r="C2" s="2" t="n"/>
      <c r="D2" s="2" t="n"/>
    </row>
    <row r="3">
      <c r="A3" s="2" t="inlineStr">
        <is>
          <t>Job_Category</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work orders</t>
        </is>
      </c>
      <c r="B7" s="2">
        <f>SUMPRODUCT((IF($B$2="All",1,--(tblWorkOrders[Site]=$B$2)))*(IF($B$3="All",1,--(tblWorkOrders[Job_Category]=$B$3)))*(IF($B$4="All",1,--(tblWorkOrders[Status]=$B$4)))*(IF($B$5="All",1,--(tblWorkOrders[Assigned_To]=$B$5)))*--(tblWorkOrders[Work_Order_ID]&lt;&gt;""))</f>
        <v/>
      </c>
      <c r="C7" s="2" t="n"/>
      <c r="D7" s="2" t="n"/>
    </row>
    <row r="8">
      <c r="A8" s="2" t="inlineStr">
        <is>
          <t>Backlog</t>
        </is>
      </c>
      <c r="B8" s="2">
        <f>SUMPRODUCT((IF($B$2="All",1,--(tblWorkOrders[Site]=$B$2)))*(IF($B$3="All",1,--(tblWorkOrders[Job_Category]=$B$3)))*(IF($B$4="All",1,--(tblWorkOrders[Status]=$B$4)))*(IF($B$5="All",1,--(tblWorkOrders[Assigned_To]=$B$5)))*--(tblWorkOrders[Status]&lt;&gt;"Closed")*--(tblWorkOrders[Status]&lt;&gt;"Cancelled"))</f>
        <v/>
      </c>
      <c r="C8" s="2" t="n"/>
      <c r="D8" s="2" t="n"/>
    </row>
    <row r="9">
      <c r="A9" s="2" t="inlineStr">
        <is>
          <t>Overdue backlog</t>
        </is>
      </c>
      <c r="B9" s="2">
        <f>SUMPRODUCT((IF($B$2="All",1,--(tblWorkOrders[Site]=$B$2)))*(IF($B$3="All",1,--(tblWorkOrders[Job_Category]=$B$3)))*(IF($B$4="All",1,--(tblWorkOrders[Status]=$B$4)))*(IF($B$5="All",1,--(tblWorkOrders[Assigned_To]=$B$5)))*--(tblWorkOrders[Status]&lt;&gt;"Closed")*--(tblWorkOrders[Status]&lt;&gt;"Cancelled")*--(tblWorkOrders[Due_Date]&lt;Control!$B$2))</f>
        <v/>
      </c>
      <c r="C9" s="2" t="n"/>
      <c r="D9" s="2" t="n"/>
    </row>
    <row r="10">
      <c r="A10" s="2" t="inlineStr">
        <is>
          <t>Closed</t>
        </is>
      </c>
      <c r="B10" s="2">
        <f>SUMPRODUCT((IF($B$2="All",1,--(tblWorkOrders[Site]=$B$2)))*(IF($B$3="All",1,--(tblWorkOrders[Job_Category]=$B$3)))*(IF($B$4="All",1,--(tblWorkOrders[Status]=$B$4)))*(IF($B$5="All",1,--(tblWorkOrders[Assigned_To]=$B$5)))*--(tblWorkOrders[Status]="Closed"))</f>
        <v/>
      </c>
      <c r="C10" s="2" t="n"/>
      <c r="D10" s="2" t="n"/>
    </row>
    <row r="11">
      <c r="A11" s="2" t="inlineStr">
        <is>
          <t>On-time closure rate</t>
        </is>
      </c>
      <c r="B11" s="7">
        <f>IF(B10=0,"N/A",SUMPRODUCT((IF($B$2="All",1,--(tblWorkOrders[Site]=$B$2)))*(IF($B$3="All",1,--(tblWorkOrders[Job_Category]=$B$3)))*(IF($B$4="All",1,--(tblWorkOrders[Status]=$B$4)))*(IF($B$5="All",1,--(tblWorkOrders[Assigned_To]=$B$5)))*--(tblWorkOrders[Status]="Closed")*--(tblWorkOrders[Closed_Date]&lt;=tblWorkOrders[Due_Date]))/B10)</f>
        <v/>
      </c>
      <c r="C11" s="2" t="n"/>
      <c r="D11" s="2" t="n"/>
    </row>
    <row r="12">
      <c r="A12" s="2" t="inlineStr">
        <is>
          <t>Cost SGD</t>
        </is>
      </c>
      <c r="B12" s="8">
        <f>SUMPRODUCT((IF($B$2="All",1,--(tblWorkOrders[Site]=$B$2)))*(IF($B$3="All",1,--(tblWorkOrders[Job_Category]=$B$3)))*(IF($B$4="All",1,--(tblWorkOrders[Status]=$B$4)))*(IF($B$5="All",1,--(tblWorkOrders[Assigned_To]=$B$5)))*tblWorkOrders[Cost_SGD])</f>
        <v/>
      </c>
      <c r="C12" s="2" t="n"/>
      <c r="D12" s="2" t="n"/>
    </row>
    <row r="13">
      <c r="A13" s="2" t="n"/>
      <c r="B13" s="2" t="n"/>
      <c r="C13" s="2" t="n"/>
      <c r="D13" s="2" t="n"/>
    </row>
    <row r="14">
      <c r="A14" s="2" t="n"/>
      <c r="B14" s="2" t="n"/>
      <c r="C14" s="2" t="n"/>
      <c r="D14" s="2" t="n"/>
    </row>
    <row r="15">
      <c r="A15" s="2" t="inlineStr">
        <is>
          <t>Work orders by status</t>
        </is>
      </c>
      <c r="B15" s="2" t="inlineStr">
        <is>
          <t>Count</t>
        </is>
      </c>
      <c r="C15" s="2" t="n"/>
      <c r="D15" s="2" t="n"/>
    </row>
    <row r="16">
      <c r="A16" s="2" t="inlineStr">
        <is>
          <t>New</t>
        </is>
      </c>
      <c r="B16" s="2">
        <f>SUMPRODUCT((IF($B$2="All",1,--(tblWorkOrders[Site]=$B$2)))*(IF($B$3="All",1,--(tblWorkOrders[Job_Category]=$B$3)))*(IF($B$4="All",1,--(tblWorkOrders[Status]=$B$4)))*(IF($B$5="All",1,--(tblWorkOrders[Assigned_To]=$B$5)))*--(tblWorkOrders[Status]=A16))</f>
        <v/>
      </c>
      <c r="C16" s="2" t="n"/>
      <c r="D16" s="2" t="n"/>
    </row>
    <row r="17">
      <c r="A17" s="2" t="inlineStr">
        <is>
          <t>Assigned</t>
        </is>
      </c>
      <c r="B17" s="2">
        <f>SUMPRODUCT((IF($B$2="All",1,--(tblWorkOrders[Site]=$B$2)))*(IF($B$3="All",1,--(tblWorkOrders[Job_Category]=$B$3)))*(IF($B$4="All",1,--(tblWorkOrders[Status]=$B$4)))*(IF($B$5="All",1,--(tblWorkOrders[Assigned_To]=$B$5)))*--(tblWorkOrders[Status]=A17))</f>
        <v/>
      </c>
      <c r="C17" s="2" t="n"/>
      <c r="D17" s="2" t="n"/>
    </row>
    <row r="18">
      <c r="A18" s="2" t="inlineStr">
        <is>
          <t>In Progress</t>
        </is>
      </c>
      <c r="B18" s="2">
        <f>SUMPRODUCT((IF($B$2="All",1,--(tblWorkOrders[Site]=$B$2)))*(IF($B$3="All",1,--(tblWorkOrders[Job_Category]=$B$3)))*(IF($B$4="All",1,--(tblWorkOrders[Status]=$B$4)))*(IF($B$5="All",1,--(tblWorkOrders[Assigned_To]=$B$5)))*--(tblWorkOrders[Status]=A18))</f>
        <v/>
      </c>
      <c r="C18" s="2" t="n"/>
      <c r="D18" s="2" t="n"/>
    </row>
    <row r="19">
      <c r="A19" s="2" t="inlineStr">
        <is>
          <t>On Hold</t>
        </is>
      </c>
      <c r="B19" s="2">
        <f>SUMPRODUCT((IF($B$2="All",1,--(tblWorkOrders[Site]=$B$2)))*(IF($B$3="All",1,--(tblWorkOrders[Job_Category]=$B$3)))*(IF($B$4="All",1,--(tblWorkOrders[Status]=$B$4)))*(IF($B$5="All",1,--(tblWorkOrders[Assigned_To]=$B$5)))*--(tblWorkOrders[Status]=A19))</f>
        <v/>
      </c>
      <c r="C19" s="2" t="n"/>
      <c r="D19" s="2" t="n"/>
    </row>
    <row r="20">
      <c r="A20" s="2" t="inlineStr">
        <is>
          <t>Closed</t>
        </is>
      </c>
      <c r="B20" s="2">
        <f>SUMPRODUCT((IF($B$2="All",1,--(tblWorkOrders[Site]=$B$2)))*(IF($B$3="All",1,--(tblWorkOrders[Job_Category]=$B$3)))*(IF($B$4="All",1,--(tblWorkOrders[Status]=$B$4)))*(IF($B$5="All",1,--(tblWorkOrders[Assigned_To]=$B$5)))*--(tblWorkOrders[Status]=A20))</f>
        <v/>
      </c>
      <c r="C20" s="2" t="n"/>
      <c r="D20" s="2" t="n"/>
    </row>
    <row r="21">
      <c r="A21" s="2" t="inlineStr">
        <is>
          <t>Cancelled</t>
        </is>
      </c>
      <c r="B21" s="2">
        <f>SUMPRODUCT((IF($B$2="All",1,--(tblWorkOrders[Site]=$B$2)))*(IF($B$3="All",1,--(tblWorkOrders[Job_Category]=$B$3)))*(IF($B$4="All",1,--(tblWorkOrders[Status]=$B$4)))*(IF($B$5="All",1,--(tblWorkOrders[Assigned_To]=$B$5)))*--(tblWorkOrders[Status]=A21))</f>
        <v/>
      </c>
      <c r="C21" s="2" t="n"/>
      <c r="D21" s="2" t="n"/>
    </row>
    <row r="22">
      <c r="A22" s="2" t="n"/>
      <c r="B22" s="2" t="n"/>
      <c r="C22" s="2" t="n"/>
      <c r="D22" s="2" t="n"/>
    </row>
    <row r="23">
      <c r="A23" s="2" t="n"/>
      <c r="B23" s="2" t="n"/>
      <c r="C23" s="2" t="n"/>
      <c r="D23" s="2" t="n"/>
    </row>
    <row r="24">
      <c r="A24" s="2" t="inlineStr">
        <is>
          <t>Work orders by category</t>
        </is>
      </c>
      <c r="B24" s="2" t="inlineStr">
        <is>
          <t>Count</t>
        </is>
      </c>
      <c r="C24" s="2" t="n"/>
      <c r="D24" s="2" t="n"/>
    </row>
    <row r="25">
      <c r="A25" s="2" t="inlineStr">
        <is>
          <t>Leak Repair</t>
        </is>
      </c>
      <c r="B25" s="2">
        <f>SUMPRODUCT((IF($B$2="All",1,--(tblWorkOrders[Site]=$B$2)))*(IF($B$3="All",1,--(tblWorkOrders[Job_Category]=$B$3)))*(IF($B$4="All",1,--(tblWorkOrders[Status]=$B$4)))*(IF($B$5="All",1,--(tblWorkOrders[Assigned_To]=$B$5)))*--(tblWorkOrders[Job_Category]=A25))</f>
        <v/>
      </c>
      <c r="C25" s="2" t="n"/>
      <c r="D25" s="2" t="n"/>
    </row>
    <row r="26">
      <c r="A26" s="2" t="inlineStr">
        <is>
          <t>Valve Repair</t>
        </is>
      </c>
      <c r="B26" s="2">
        <f>SUMPRODUCT((IF($B$2="All",1,--(tblWorkOrders[Site]=$B$2)))*(IF($B$3="All",1,--(tblWorkOrders[Job_Category]=$B$3)))*(IF($B$4="All",1,--(tblWorkOrders[Status]=$B$4)))*(IF($B$5="All",1,--(tblWorkOrders[Assigned_To]=$B$5)))*--(tblWorkOrders[Job_Category]=A26))</f>
        <v/>
      </c>
      <c r="C26" s="2" t="n"/>
      <c r="D26" s="2" t="n"/>
    </row>
    <row r="27">
      <c r="A27" s="2" t="inlineStr">
        <is>
          <t>Pipe Replacement</t>
        </is>
      </c>
      <c r="B27" s="2">
        <f>SUMPRODUCT((IF($B$2="All",1,--(tblWorkOrders[Site]=$B$2)))*(IF($B$3="All",1,--(tblWorkOrders[Job_Category]=$B$3)))*(IF($B$4="All",1,--(tblWorkOrders[Status]=$B$4)))*(IF($B$5="All",1,--(tblWorkOrders[Assigned_To]=$B$5)))*--(tblWorkOrders[Job_Category]=A27))</f>
        <v/>
      </c>
      <c r="C27" s="2" t="n"/>
      <c r="D27" s="2" t="n"/>
    </row>
    <row r="28">
      <c r="A28" s="2" t="inlineStr">
        <is>
          <t>Pump Service</t>
        </is>
      </c>
      <c r="B28" s="2">
        <f>SUMPRODUCT((IF($B$2="All",1,--(tblWorkOrders[Site]=$B$2)))*(IF($B$3="All",1,--(tblWorkOrders[Job_Category]=$B$3)))*(IF($B$4="All",1,--(tblWorkOrders[Status]=$B$4)))*(IF($B$5="All",1,--(tblWorkOrders[Assigned_To]=$B$5)))*--(tblWorkOrders[Job_Category]=A28))</f>
        <v/>
      </c>
      <c r="C28" s="2" t="n"/>
      <c r="D28" s="2" t="n"/>
    </row>
    <row r="29">
      <c r="A29" s="2" t="inlineStr">
        <is>
          <t>Meter Service</t>
        </is>
      </c>
      <c r="B29" s="2">
        <f>SUMPRODUCT((IF($B$2="All",1,--(tblWorkOrders[Site]=$B$2)))*(IF($B$3="All",1,--(tblWorkOrders[Job_Category]=$B$3)))*(IF($B$4="All",1,--(tblWorkOrders[Status]=$B$4)))*(IF($B$5="All",1,--(tblWorkOrders[Assigned_To]=$B$5)))*--(tblWorkOrders[Job_Category]=A29))</f>
        <v/>
      </c>
      <c r="C29" s="2" t="n"/>
      <c r="D29" s="2" t="n"/>
    </row>
    <row r="30">
      <c r="A30" s="2" t="n"/>
      <c r="B30" s="2" t="n"/>
      <c r="C30" s="2" t="n"/>
      <c r="D30" s="2" t="n"/>
    </row>
    <row r="31">
      <c r="A31" s="2" t="n"/>
      <c r="B31" s="2" t="n"/>
      <c r="C31" s="2" t="n"/>
      <c r="D31" s="2" t="n"/>
    </row>
    <row r="32">
      <c r="A32" s="2" t="n"/>
      <c r="B32" s="2" t="n"/>
      <c r="C32" s="2" t="n"/>
      <c r="D32" s="2" t="n"/>
    </row>
    <row r="33">
      <c r="A33" s="2" t="inlineStr">
        <is>
          <t>Work orders by site</t>
        </is>
      </c>
      <c r="B33" s="2" t="inlineStr">
        <is>
          <t>Count</t>
        </is>
      </c>
      <c r="C33" s="2" t="n"/>
      <c r="D33" s="2" t="n"/>
    </row>
    <row r="34">
      <c r="A34" s="2" t="inlineStr">
        <is>
          <t>Woodlands Hub</t>
        </is>
      </c>
      <c r="B34" s="2">
        <f>SUMPRODUCT((IF($B$2="All",1,--(tblWorkOrders[Site]=$B$2)))*(IF($B$3="All",1,--(tblWorkOrders[Job_Category]=$B$3)))*(IF($B$4="All",1,--(tblWorkOrders[Status]=$B$4)))*(IF($B$5="All",1,--(tblWorkOrders[Assigned_To]=$B$5)))*--(tblWorkOrders[Site]=A34))</f>
        <v/>
      </c>
      <c r="C34" s="2" t="n"/>
      <c r="D34" s="2" t="n"/>
    </row>
    <row r="35">
      <c r="A35" s="2" t="inlineStr">
        <is>
          <t>Jurong Depot</t>
        </is>
      </c>
      <c r="B35" s="2">
        <f>SUMPRODUCT((IF($B$2="All",1,--(tblWorkOrders[Site]=$B$2)))*(IF($B$3="All",1,--(tblWorkOrders[Job_Category]=$B$3)))*(IF($B$4="All",1,--(tblWorkOrders[Status]=$B$4)))*(IF($B$5="All",1,--(tblWorkOrders[Assigned_To]=$B$5)))*--(tblWorkOrders[Site]=A35))</f>
        <v/>
      </c>
      <c r="C35" s="2" t="n"/>
      <c r="D35" s="2" t="n"/>
    </row>
    <row r="36">
      <c r="A36" s="2" t="inlineStr">
        <is>
          <t>Tampines Centre</t>
        </is>
      </c>
      <c r="B36" s="2">
        <f>SUMPRODUCT((IF($B$2="All",1,--(tblWorkOrders[Site]=$B$2)))*(IF($B$3="All",1,--(tblWorkOrders[Job_Category]=$B$3)))*(IF($B$4="All",1,--(tblWorkOrders[Status]=$B$4)))*(IF($B$5="All",1,--(tblWorkOrders[Assigned_To]=$B$5)))*--(tblWorkOrders[Site]=A36))</f>
        <v/>
      </c>
      <c r="C36" s="2" t="n"/>
      <c r="D36" s="2" t="n"/>
    </row>
    <row r="37">
      <c r="A37" s="2" t="inlineStr">
        <is>
          <t>Paya Lebar Office</t>
        </is>
      </c>
      <c r="B37" s="2">
        <f>SUMPRODUCT((IF($B$2="All",1,--(tblWorkOrders[Site]=$B$2)))*(IF($B$3="All",1,--(tblWorkOrders[Job_Category]=$B$3)))*(IF($B$4="All",1,--(tblWorkOrders[Status]=$B$4)))*(IF($B$5="All",1,--(tblWorkOrders[Assigned_To]=$B$5)))*--(tblWorkOrders[Site]=A37))</f>
        <v/>
      </c>
      <c r="C37" s="2" t="n"/>
      <c r="D37" s="2" t="n"/>
    </row>
    <row r="38">
      <c r="A38" s="2" t="inlineStr">
        <is>
          <t>Changi Workshop</t>
        </is>
      </c>
      <c r="B38" s="2">
        <f>SUMPRODUCT((IF($B$2="All",1,--(tblWorkOrders[Site]=$B$2)))*(IF($B$3="All",1,--(tblWorkOrders[Job_Category]=$B$3)))*(IF($B$4="All",1,--(tblWorkOrders[Status]=$B$4)))*(IF($B$5="All",1,--(tblWorkOrders[Assigned_To]=$B$5)))*--(tblWorkOrders[Site]=A38))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2026-10-13T15:02:37Z</dcterms:created>
  <dcterms:modified xmlns:dcterms="http://purl.org/dc/terms/" xmlns:xsi="http://www.w3.org/2001/XMLSchema-instance" xsi:type="dcterms:W3CDTF">2026-10-13T15:02:37Z</dcterms:modified>
</cp:coreProperties>
</file>