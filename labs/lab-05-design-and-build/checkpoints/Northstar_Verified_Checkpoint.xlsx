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Filter_Lists" sheetId="8" state="hidden" r:id="rId8"/>
  </sheets>
  <definedNames>
    <definedName name="_xlnm._FilterDatabase" localSheetId="0" hidden="1">'About_This_Data'!$A$1:$B$6</definedName>
    <definedName name="_xlnm._FilterDatabase" localSheetId="1" hidden="1">'Work_Orders'!$A$1:$M$121</definedName>
    <definedName name="_xlnm._FilterDatabase" localSheetId="2" hidden="1">'Technicians'!$A$1:$D$9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  <definedName name="_xlnm._FilterDatabase" localSheetId="6" hidden="1">'Dashboard'!$A$1:$D$38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&quot;S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'Dashboard'!$A$16:$A$21</f>
            </numRef>
          </cat>
          <val>
            <numRef>
              <f>'Dashboard'!$B$16:$B$21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'Dashboard'!$A$25:$A$29</f>
            </numRef>
          </cat>
          <val>
            <numRef>
              <f>'Dashboard'!$B$25:$B$29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site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'Dashboard'!$A$34:$A$38</f>
            </numRef>
          </cat>
          <val>
            <numRef>
              <f>'Dashboard'!$B$34:$B$38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5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10</row>
      <rowOff>0</rowOff>
    </from>
    <ext cx="75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19</row>
      <rowOff>0</rowOff>
    </from>
    <ext cx="75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Facilities - fictional</t>
        </is>
      </c>
    </row>
    <row r="3">
      <c r="A3" s="2" t="inlineStr">
        <is>
          <t>Reporting date</t>
        </is>
      </c>
      <c r="B3" s="6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HVAC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6" t="n">
        <v>46290</v>
      </c>
      <c r="H2" s="6" t="n">
        <v>46297</v>
      </c>
      <c r="I2" s="6" t="n">
        <v>46295</v>
      </c>
      <c r="J2" s="2" t="n">
        <v>2</v>
      </c>
      <c r="K2" s="2" t="n">
        <v>1</v>
      </c>
      <c r="L2" s="2" t="n">
        <v>90</v>
      </c>
      <c r="M2" s="2" t="inlineStr">
        <is>
          <t>HVAC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HVAC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6" t="n">
        <v>46289</v>
      </c>
      <c r="H3" s="6" t="n">
        <v>46297</v>
      </c>
      <c r="I3" s="6" t="n">
        <v>46295</v>
      </c>
      <c r="J3" s="2" t="n">
        <v>3</v>
      </c>
      <c r="K3" s="2" t="n">
        <v>2</v>
      </c>
      <c r="L3" s="2" t="n">
        <v>125.5</v>
      </c>
      <c r="M3" s="2" t="inlineStr">
        <is>
          <t>HVAC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HVAC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6" t="n">
        <v>46288</v>
      </c>
      <c r="H4" s="6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HVAC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HVAC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6" t="n">
        <v>46287</v>
      </c>
      <c r="H5" s="6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HVAC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Electrical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6" t="n">
        <v>46286</v>
      </c>
      <c r="H6" s="6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Electrical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Electrical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6" t="n">
        <v>46285</v>
      </c>
      <c r="H7" s="6" t="n">
        <v>46297</v>
      </c>
      <c r="I7" s="6" t="n">
        <v>46295</v>
      </c>
      <c r="J7" s="2" t="n">
        <v>7</v>
      </c>
      <c r="K7" s="2" t="n">
        <v>6</v>
      </c>
      <c r="L7" s="2" t="n">
        <v>267.5</v>
      </c>
      <c r="M7" s="2" t="inlineStr">
        <is>
          <t>Electrical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Electrical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6" t="n">
        <v>46284</v>
      </c>
      <c r="H8" s="6" t="n">
        <v>46297</v>
      </c>
      <c r="I8" s="6" t="n">
        <v>46295</v>
      </c>
      <c r="J8" s="2" t="n">
        <v>8</v>
      </c>
      <c r="K8" s="2" t="n">
        <v>7</v>
      </c>
      <c r="L8" s="2" t="n">
        <v>303</v>
      </c>
      <c r="M8" s="2" t="inlineStr">
        <is>
          <t>Electrical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Electrical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6" t="n">
        <v>46283</v>
      </c>
      <c r="H9" s="6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Electrical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Plumbing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6" t="n">
        <v>46282</v>
      </c>
      <c r="H10" s="6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Plumbing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Plumbing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6" t="n">
        <v>46281</v>
      </c>
      <c r="H11" s="6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Plumbing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Plumbing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6" t="n">
        <v>46280</v>
      </c>
      <c r="H12" s="6" t="n">
        <v>46287</v>
      </c>
      <c r="I12" s="6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Plumbing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Plumbing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6" t="n">
        <v>46279</v>
      </c>
      <c r="H13" s="6" t="n">
        <v>46287</v>
      </c>
      <c r="I13" s="6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Plumbing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Fire Safety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6" t="n">
        <v>46278</v>
      </c>
      <c r="H14" s="6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Fire Safety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Fire Safety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6" t="n">
        <v>46277</v>
      </c>
      <c r="H15" s="6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Fire Safety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Fire Safety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6" t="n">
        <v>46276</v>
      </c>
      <c r="H16" s="6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Fire Safety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Fire Safety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6" t="n">
        <v>46275</v>
      </c>
      <c r="H17" s="6" t="n">
        <v>46287</v>
      </c>
      <c r="I17" s="6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Fire Safety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General Repair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6" t="n">
        <v>46274</v>
      </c>
      <c r="H18" s="6" t="n">
        <v>46287</v>
      </c>
      <c r="I18" s="6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General Repair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General Repair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6" t="n">
        <v>46273</v>
      </c>
      <c r="H19" s="6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General Repair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General Repair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6" t="n">
        <v>46272</v>
      </c>
      <c r="H20" s="6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General Repair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General Repair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6" t="n">
        <v>46271</v>
      </c>
      <c r="H21" s="6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General Repair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HVAC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6" t="n">
        <v>46270</v>
      </c>
      <c r="H22" s="6" t="n">
        <v>46277</v>
      </c>
      <c r="I22" s="6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HVAC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HVAC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6" t="n">
        <v>46269</v>
      </c>
      <c r="H23" s="6" t="n">
        <v>46277</v>
      </c>
      <c r="I23" s="6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HVAC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HVAC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6" t="n">
        <v>46268</v>
      </c>
      <c r="H24" s="6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HVAC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HVAC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6" t="n">
        <v>46267</v>
      </c>
      <c r="H25" s="6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HVAC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Electrical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6" t="n">
        <v>46266</v>
      </c>
      <c r="H26" s="6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Electrical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Electrical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6" t="n">
        <v>46265</v>
      </c>
      <c r="H27" s="6" t="n">
        <v>46277</v>
      </c>
      <c r="I27" s="6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Electrical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Electrical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6" t="n">
        <v>46264</v>
      </c>
      <c r="H28" s="6" t="n">
        <v>46277</v>
      </c>
      <c r="I28" s="6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Electrical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Electrical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6" t="n">
        <v>46263</v>
      </c>
      <c r="H29" s="6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Electrical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Plumbing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6" t="n">
        <v>46262</v>
      </c>
      <c r="H30" s="6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Plumbing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Plumbing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6" t="n">
        <v>46261</v>
      </c>
      <c r="H31" s="6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Plumbing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Plumbing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6" t="n">
        <v>46260</v>
      </c>
      <c r="H32" s="6" t="n">
        <v>46267</v>
      </c>
      <c r="I32" s="6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Plumbing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Plumbing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6" t="n">
        <v>46259</v>
      </c>
      <c r="H33" s="6" t="n">
        <v>46267</v>
      </c>
      <c r="I33" s="6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Plumbing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Fire Safety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6" t="n">
        <v>46258</v>
      </c>
      <c r="H34" s="6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Fire Safety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Fire Safety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6" t="n">
        <v>46257</v>
      </c>
      <c r="H35" s="6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Fire Safety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Fire Safety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6" t="n">
        <v>46256</v>
      </c>
      <c r="H36" s="6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Fire Safety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Fire Safety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6" t="n">
        <v>46255</v>
      </c>
      <c r="H37" s="6" t="n">
        <v>46267</v>
      </c>
      <c r="I37" s="6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Fire Safety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General Repair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6" t="n">
        <v>46254</v>
      </c>
      <c r="H38" s="6" t="n">
        <v>46267</v>
      </c>
      <c r="I38" s="6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General Repair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General Repair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6" t="n">
        <v>46253</v>
      </c>
      <c r="H39" s="6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General Repair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General Repair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6" t="n">
        <v>46252</v>
      </c>
      <c r="H40" s="6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General Repair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General Repair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6" t="n">
        <v>46251</v>
      </c>
      <c r="H41" s="6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General Repair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HVAC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6" t="n">
        <v>46250</v>
      </c>
      <c r="H42" s="6" t="n">
        <v>46257</v>
      </c>
      <c r="I42" s="6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HVAC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HVAC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6" t="n">
        <v>46249</v>
      </c>
      <c r="H43" s="6" t="n">
        <v>46257</v>
      </c>
      <c r="I43" s="6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HVAC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HVAC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6" t="n">
        <v>46248</v>
      </c>
      <c r="H44" s="6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HVAC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HVAC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6" t="n">
        <v>46247</v>
      </c>
      <c r="H45" s="6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HVAC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Electrical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6" t="n">
        <v>46246</v>
      </c>
      <c r="H46" s="6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Electrical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Electrical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6" t="n">
        <v>46245</v>
      </c>
      <c r="H47" s="6" t="n">
        <v>46257</v>
      </c>
      <c r="I47" s="6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Electrical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Electrical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6" t="n">
        <v>46244</v>
      </c>
      <c r="H48" s="6" t="n">
        <v>46257</v>
      </c>
      <c r="I48" s="6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Electrical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Electrical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6" t="n">
        <v>46243</v>
      </c>
      <c r="H49" s="6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Electrical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Plumbing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6" t="n">
        <v>46242</v>
      </c>
      <c r="H50" s="6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Plumbing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Plumbing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6" t="n">
        <v>46241</v>
      </c>
      <c r="H51" s="6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Plumbing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Plumbing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6" t="n">
        <v>46240</v>
      </c>
      <c r="H52" s="6" t="n">
        <v>46247</v>
      </c>
      <c r="I52" s="6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Plumbing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Plumbing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6" t="n">
        <v>46239</v>
      </c>
      <c r="H53" s="6" t="n">
        <v>46247</v>
      </c>
      <c r="I53" s="6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Plumbing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Fire Safety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6" t="n">
        <v>46238</v>
      </c>
      <c r="H54" s="6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Fire Safety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Fire Safety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6" t="n">
        <v>46237</v>
      </c>
      <c r="H55" s="6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Fire Safety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Fire Safety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6" t="n">
        <v>46236</v>
      </c>
      <c r="H56" s="6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Fire Safety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Fire Safety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6" t="n">
        <v>46235</v>
      </c>
      <c r="H57" s="6" t="n">
        <v>46247</v>
      </c>
      <c r="I57" s="6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Fire Safety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General Repair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6" t="n">
        <v>46234</v>
      </c>
      <c r="H58" s="6" t="n">
        <v>46247</v>
      </c>
      <c r="I58" s="6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General Repair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General Repair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6" t="n">
        <v>46233</v>
      </c>
      <c r="H59" s="6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General Repair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General Repair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6" t="n">
        <v>46232</v>
      </c>
      <c r="H60" s="6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General Repair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General Repair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6" t="n">
        <v>46231</v>
      </c>
      <c r="H61" s="6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General Repair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HVAC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6" t="n">
        <v>46230</v>
      </c>
      <c r="H62" s="6" t="n">
        <v>46237</v>
      </c>
      <c r="I62" s="6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HVAC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HVAC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6" t="n">
        <v>46229</v>
      </c>
      <c r="H63" s="6" t="n">
        <v>46237</v>
      </c>
      <c r="I63" s="6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HVAC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HVAC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6" t="n">
        <v>46228</v>
      </c>
      <c r="H64" s="6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HVAC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HVAC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6" t="n">
        <v>46227</v>
      </c>
      <c r="H65" s="6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HVAC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Electrical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6" t="n">
        <v>46226</v>
      </c>
      <c r="H66" s="6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Electrical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Electrical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6" t="n">
        <v>46225</v>
      </c>
      <c r="H67" s="6" t="n">
        <v>46237</v>
      </c>
      <c r="I67" s="6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Electrical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Electrical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6" t="n">
        <v>46224</v>
      </c>
      <c r="H68" s="6" t="n">
        <v>46237</v>
      </c>
      <c r="I68" s="6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Electrical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Electrical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6" t="n">
        <v>46223</v>
      </c>
      <c r="H69" s="6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Electrical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Plumbing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6" t="n">
        <v>46222</v>
      </c>
      <c r="H70" s="6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Plumbing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Plumbing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6" t="n">
        <v>46221</v>
      </c>
      <c r="H71" s="6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Plumbing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Plumbing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6" t="n">
        <v>46220</v>
      </c>
      <c r="H72" s="6" t="n">
        <v>46227</v>
      </c>
      <c r="I72" s="6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Plumbing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Plumbing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6" t="n">
        <v>46219</v>
      </c>
      <c r="H73" s="6" t="n">
        <v>46227</v>
      </c>
      <c r="I73" s="6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Plumbing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Fire Safety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6" t="n">
        <v>46218</v>
      </c>
      <c r="H74" s="6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Fire Safety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Fire Safety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6" t="n">
        <v>46217</v>
      </c>
      <c r="H75" s="6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Fire Safety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Fire Safety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6" t="n">
        <v>46216</v>
      </c>
      <c r="H76" s="6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Fire Safety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Fire Safety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6" t="n">
        <v>46215</v>
      </c>
      <c r="H77" s="6" t="n">
        <v>46227</v>
      </c>
      <c r="I77" s="6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Fire Safety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General Repair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6" t="n">
        <v>46214</v>
      </c>
      <c r="H78" s="6" t="n">
        <v>46227</v>
      </c>
      <c r="I78" s="6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General Repair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General Repair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6" t="n">
        <v>46213</v>
      </c>
      <c r="H79" s="6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General Repair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General Repair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6" t="n">
        <v>46212</v>
      </c>
      <c r="H80" s="6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General Repair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General Repair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6" t="n">
        <v>46211</v>
      </c>
      <c r="H81" s="6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General Repair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HVAC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6" t="n">
        <v>46290</v>
      </c>
      <c r="H82" s="6" t="n">
        <v>46297</v>
      </c>
      <c r="I82" s="6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HVAC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HVAC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6" t="n">
        <v>46289</v>
      </c>
      <c r="H83" s="6" t="n">
        <v>46297</v>
      </c>
      <c r="I83" s="6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HVAC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HVAC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6" t="n">
        <v>46288</v>
      </c>
      <c r="H84" s="6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HVAC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HVAC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6" t="n">
        <v>46287</v>
      </c>
      <c r="H85" s="6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HVAC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Electrical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6" t="n">
        <v>46286</v>
      </c>
      <c r="H86" s="6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Electrical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Electrical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6" t="n">
        <v>46285</v>
      </c>
      <c r="H87" s="6" t="n">
        <v>46297</v>
      </c>
      <c r="I87" s="6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Electrical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Electrical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6" t="n">
        <v>46284</v>
      </c>
      <c r="H88" s="6" t="n">
        <v>46297</v>
      </c>
      <c r="I88" s="6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Electrical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Electrical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6" t="n">
        <v>46283</v>
      </c>
      <c r="H89" s="6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Electrical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Plumbing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6" t="n">
        <v>46282</v>
      </c>
      <c r="H90" s="6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Plumbing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Plumbing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6" t="n">
        <v>46281</v>
      </c>
      <c r="H91" s="6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Plumbing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Plumbing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6" t="n">
        <v>46280</v>
      </c>
      <c r="H92" s="6" t="n">
        <v>46287</v>
      </c>
      <c r="I92" s="6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Plumbing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Plumbing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6" t="n">
        <v>46279</v>
      </c>
      <c r="H93" s="6" t="n">
        <v>46287</v>
      </c>
      <c r="I93" s="6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Plumbing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Fire Safety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6" t="n">
        <v>46278</v>
      </c>
      <c r="H94" s="6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Fire Safety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Fire Safety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6" t="n">
        <v>46277</v>
      </c>
      <c r="H95" s="6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Fire Safety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Fire Safety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6" t="n">
        <v>46276</v>
      </c>
      <c r="H96" s="6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Fire Safety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Fire Safety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6" t="n">
        <v>46275</v>
      </c>
      <c r="H97" s="6" t="n">
        <v>46287</v>
      </c>
      <c r="I97" s="6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Fire Safety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General Repair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6" t="n">
        <v>46274</v>
      </c>
      <c r="H98" s="6" t="n">
        <v>46287</v>
      </c>
      <c r="I98" s="6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General Repair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General Repair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6" t="n">
        <v>46273</v>
      </c>
      <c r="H99" s="6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General Repair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General Repair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6" t="n">
        <v>46272</v>
      </c>
      <c r="H100" s="6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General Repair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General Repair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6" t="n">
        <v>46271</v>
      </c>
      <c r="H101" s="6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General Repair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HVAC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6" t="n">
        <v>46270</v>
      </c>
      <c r="H102" s="6" t="n">
        <v>46277</v>
      </c>
      <c r="I102" s="6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HVAC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HVAC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6" t="n">
        <v>46269</v>
      </c>
      <c r="H103" s="6" t="n">
        <v>46277</v>
      </c>
      <c r="I103" s="6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HVAC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HVAC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6" t="n">
        <v>46268</v>
      </c>
      <c r="H104" s="6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HVAC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HVAC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6" t="n">
        <v>46267</v>
      </c>
      <c r="H105" s="6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HVAC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Electrical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6" t="n">
        <v>46266</v>
      </c>
      <c r="H106" s="6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Electrical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Electrical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6" t="n">
        <v>46265</v>
      </c>
      <c r="H107" s="6" t="n">
        <v>46277</v>
      </c>
      <c r="I107" s="6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Electrical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Electrical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6" t="n">
        <v>46264</v>
      </c>
      <c r="H108" s="6" t="n">
        <v>46277</v>
      </c>
      <c r="I108" s="6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Electrical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Electrical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6" t="n">
        <v>46263</v>
      </c>
      <c r="H109" s="6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Electrical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Plumbing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6" t="n">
        <v>46262</v>
      </c>
      <c r="H110" s="6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Plumbing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Plumbing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6" t="n">
        <v>46261</v>
      </c>
      <c r="H111" s="6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Plumbing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Plumbing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6" t="n">
        <v>46260</v>
      </c>
      <c r="H112" s="6" t="n">
        <v>46267</v>
      </c>
      <c r="I112" s="6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Plumbing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Plumbing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6" t="n">
        <v>46259</v>
      </c>
      <c r="H113" s="6" t="n">
        <v>46267</v>
      </c>
      <c r="I113" s="6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Plumbing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Fire Safety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6" t="n">
        <v>46258</v>
      </c>
      <c r="H114" s="6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Fire Safety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Fire Safety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6" t="n">
        <v>46257</v>
      </c>
      <c r="H115" s="6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Fire Safety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Fire Safety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6" t="n">
        <v>46256</v>
      </c>
      <c r="H116" s="6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Fire Safety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Fire Safety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6" t="n">
        <v>46255</v>
      </c>
      <c r="H117" s="6" t="n">
        <v>46267</v>
      </c>
      <c r="I117" s="6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Fire Safety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General Repair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6" t="n">
        <v>46254</v>
      </c>
      <c r="H118" s="6" t="n">
        <v>46267</v>
      </c>
      <c r="I118" s="6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General Repair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General Repair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6" t="n">
        <v>46253</v>
      </c>
      <c r="H119" s="6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General Repair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General Repair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6" t="n">
        <v>46252</v>
      </c>
      <c r="H120" s="6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General Repair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General Repair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6" t="n">
        <v>46251</v>
      </c>
      <c r="H121" s="6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General Repair scheduled or reactive task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HVAC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HVAC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HVAC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HVAC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Electrical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Electrical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Electrical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Electrical</t>
        </is>
      </c>
      <c r="C9" s="2" t="n">
        <v>30</v>
      </c>
      <c r="D9" s="2" t="inlineStr">
        <is>
          <t>Tampines Centre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6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2</t>
        </is>
      </c>
      <c r="B2" s="2" t="inlineStr">
        <is>
          <t>EXCEL - PLAN</t>
        </is>
      </c>
      <c r="C2" s="2" t="inlineStr">
        <is>
          <t>EXCEL - PLAN:
Plan Dashboard for Northstar maintenance at 2026-09-30. Use selection cells B2:B5 for Site, Job_Category, Status, Assigned_To, all initially All. Reserve B7 total orders, B8 backlog, B9 overdue backlog, B10 closed, B11 on-time closure rate, B12 Cost_SGD. Place three charts for status, category and site with labels, units and scope. Preserve source data.</t>
        </is>
      </c>
    </row>
    <row r="3">
      <c r="A3" s="2" t="inlineStr">
        <is>
          <t>Step 3</t>
        </is>
      </c>
      <c r="B3" s="2" t="inlineStr">
        <is>
          <t>EXCEL - ALLOW EDITING</t>
        </is>
      </c>
      <c r="C3" s="2" t="inlineStr">
        <is>
          <t>EXCEL - ALLOW EDITING:
Build the planned six KPI formulas from tblWorkOrders. Backlog excludes Closed/Cancelled. Overdue also requires Due_Date &lt; Control!B2. On-time rate counts Closed_Date &lt;= Due_Date among Closed rows only, and shows N/A when none. Recorded cost sums Cost_SGD of all included statuses. Link to table columns, never a fixed 120-row range. Keep source data unchanged.</t>
        </is>
      </c>
    </row>
    <row r="4">
      <c r="A4" s="2" t="inlineStr">
        <is>
          <t>Step 4</t>
        </is>
      </c>
      <c r="B4" s="2" t="inlineStr">
        <is>
          <t>EXCEL - ALLOW EDITING</t>
        </is>
      </c>
      <c r="C4" s="2" t="inlineStr">
        <is>
          <t>EXCEL - ALLOW EDITING:
Create three editable bar or column charts using formula-backed summaries: work-order count by Status, by Job_Category and by Site. Each summary must reconcile to the total selected orders. Use white background, navy titles, blue/teal accents, readable labels and a visible reporting date. Do not use category counts as evidence of causes or use colour alone for status.</t>
        </is>
      </c>
    </row>
    <row r="5">
      <c r="A5" s="2" t="inlineStr">
        <is>
          <t>Step 6</t>
        </is>
      </c>
      <c r="B5" s="2" t="inlineStr">
        <is>
          <t>EXCEL - CHAT ONLY</t>
        </is>
      </c>
      <c r="C5" s="2" t="inlineStr">
        <is>
          <t>EXCEL - CHAT ONLY:
Explain each Dashboard measure in plain English, including terminal statuses, strict overdue date rule, closed-only SLA denominator and meaning of recorded cost. Give one source-row example for overdue and one for on-time closure; cite Work_Order_ID. Do not guess a root cause or financial saving.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7" customWidth="1" min="3" max="3"/>
    <col width="17" customWidth="1" min="4" max="4"/>
  </cols>
  <sheetData>
    <row r="1">
      <c r="A1" s="1" t="inlineStr">
        <is>
          <t>Northstar Maintenance Dashboard</t>
        </is>
      </c>
      <c r="B1" s="1" t="inlineStr">
        <is>
          <t>Selection</t>
        </is>
      </c>
      <c r="C1" s="1" t="inlineStr">
        <is>
          <t>As at</t>
        </is>
      </c>
      <c r="D1" s="1" t="inlineStr">
        <is>
          <t>2026-09-30</t>
        </is>
      </c>
    </row>
    <row r="2">
      <c r="A2" s="2" t="inlineStr">
        <is>
          <t>Site</t>
        </is>
      </c>
      <c r="B2" s="2" t="inlineStr">
        <is>
          <t>All</t>
        </is>
      </c>
      <c r="C2" s="2" t="n"/>
      <c r="D2" s="2" t="n"/>
    </row>
    <row r="3">
      <c r="A3" s="2" t="inlineStr">
        <is>
          <t>Job_Category</t>
        </is>
      </c>
      <c r="B3" s="2" t="inlineStr">
        <is>
          <t>All</t>
        </is>
      </c>
      <c r="C3" s="2" t="n"/>
      <c r="D3" s="2" t="n"/>
    </row>
    <row r="4">
      <c r="A4" s="2" t="inlineStr">
        <is>
          <t>Status</t>
        </is>
      </c>
      <c r="B4" s="2" t="inlineStr">
        <is>
          <t>All</t>
        </is>
      </c>
      <c r="C4" s="2" t="n"/>
      <c r="D4" s="2" t="n"/>
    </row>
    <row r="5">
      <c r="A5" s="2" t="inlineStr">
        <is>
          <t>Assigned_To</t>
        </is>
      </c>
      <c r="B5" s="2" t="inlineStr">
        <is>
          <t>All</t>
        </is>
      </c>
      <c r="C5" s="2" t="n"/>
      <c r="D5" s="2" t="n"/>
    </row>
    <row r="6">
      <c r="A6" s="2" t="inlineStr">
        <is>
          <t>Measure</t>
        </is>
      </c>
      <c r="B6" s="2" t="inlineStr">
        <is>
          <t>Current selection</t>
        </is>
      </c>
      <c r="C6" s="2" t="n"/>
      <c r="D6" s="2" t="n"/>
    </row>
    <row r="7">
      <c r="A7" s="2" t="inlineStr">
        <is>
          <t>Total work orders</t>
        </is>
      </c>
      <c r="B7" s="2">
        <f>SUMPRODUCT((IF($B$2="All",1,--(tblWorkOrders[Site]=$B$2)))*(IF($B$3="All",1,--(tblWorkOrders[Job_Category]=$B$3)))*(IF($B$4="All",1,--(tblWorkOrders[Status]=$B$4)))*(IF($B$5="All",1,--(tblWorkOrders[Assigned_To]=$B$5)))*--(tblWorkOrders[Work_Order_ID]&lt;&gt;""))</f>
        <v/>
      </c>
      <c r="C7" s="2" t="n"/>
      <c r="D7" s="2" t="n"/>
    </row>
    <row r="8">
      <c r="A8" s="2" t="inlineStr">
        <is>
          <t>Backlog</t>
        </is>
      </c>
      <c r="B8" s="2">
        <f>SUMPRODUCT((IF($B$2="All",1,--(tblWorkOrders[Site]=$B$2)))*(IF($B$3="All",1,--(tblWorkOrders[Job_Category]=$B$3)))*(IF($B$4="All",1,--(tblWorkOrders[Status]=$B$4)))*(IF($B$5="All",1,--(tblWorkOrders[Assigned_To]=$B$5)))*--(tblWorkOrders[Status]&lt;&gt;"Closed")*--(tblWorkOrders[Status]&lt;&gt;"Cancelled"))</f>
        <v/>
      </c>
      <c r="C8" s="2" t="n"/>
      <c r="D8" s="2" t="n"/>
    </row>
    <row r="9">
      <c r="A9" s="2" t="inlineStr">
        <is>
          <t>Overdue backlog</t>
        </is>
      </c>
      <c r="B9" s="2">
        <f>SUMPRODUCT((IF($B$2="All",1,--(tblWorkOrders[Site]=$B$2)))*(IF($B$3="All",1,--(tblWorkOrders[Job_Category]=$B$3)))*(IF($B$4="All",1,--(tblWorkOrders[Status]=$B$4)))*(IF($B$5="All",1,--(tblWorkOrders[Assigned_To]=$B$5)))*--(tblWorkOrders[Status]&lt;&gt;"Closed")*--(tblWorkOrders[Status]&lt;&gt;"Cancelled")*--(tblWorkOrders[Due_Date]&lt;Control!$B$2))</f>
        <v/>
      </c>
      <c r="C9" s="2" t="n"/>
      <c r="D9" s="2" t="n"/>
    </row>
    <row r="10">
      <c r="A10" s="2" t="inlineStr">
        <is>
          <t>Closed</t>
        </is>
      </c>
      <c r="B10" s="2">
        <f>SUMPRODUCT((IF($B$2="All",1,--(tblWorkOrders[Site]=$B$2)))*(IF($B$3="All",1,--(tblWorkOrders[Job_Category]=$B$3)))*(IF($B$4="All",1,--(tblWorkOrders[Status]=$B$4)))*(IF($B$5="All",1,--(tblWorkOrders[Assigned_To]=$B$5)))*--(tblWorkOrders[Status]="Closed"))</f>
        <v/>
      </c>
      <c r="C10" s="2" t="n"/>
      <c r="D10" s="2" t="n"/>
    </row>
    <row r="11">
      <c r="A11" s="2" t="inlineStr">
        <is>
          <t>On-time closure rate</t>
        </is>
      </c>
      <c r="B11" s="7">
        <f>IF(B10=0,"N/A",SUMPRODUCT((IF($B$2="All",1,--(tblWorkOrders[Site]=$B$2)))*(IF($B$3="All",1,--(tblWorkOrders[Job_Category]=$B$3)))*(IF($B$4="All",1,--(tblWorkOrders[Status]=$B$4)))*(IF($B$5="All",1,--(tblWorkOrders[Assigned_To]=$B$5)))*--(tblWorkOrders[Status]="Closed")*--(tblWorkOrders[Closed_Date]&lt;=tblWorkOrders[Due_Date]))/B10)</f>
        <v/>
      </c>
      <c r="C11" s="2" t="n"/>
      <c r="D11" s="2" t="n"/>
    </row>
    <row r="12">
      <c r="A12" s="2" t="inlineStr">
        <is>
          <t>Cost SGD</t>
        </is>
      </c>
      <c r="B12" s="8">
        <f>SUMPRODUCT((IF($B$2="All",1,--(tblWorkOrders[Site]=$B$2)))*(IF($B$3="All",1,--(tblWorkOrders[Job_Category]=$B$3)))*(IF($B$4="All",1,--(tblWorkOrders[Status]=$B$4)))*(IF($B$5="All",1,--(tblWorkOrders[Assigned_To]=$B$5)))*tblWorkOrders[Cost_SGD])</f>
        <v/>
      </c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inlineStr">
        <is>
          <t>Work orders by status</t>
        </is>
      </c>
      <c r="B15" s="2" t="inlineStr">
        <is>
          <t>Count</t>
        </is>
      </c>
      <c r="C15" s="2" t="n"/>
      <c r="D15" s="2" t="n"/>
    </row>
    <row r="16">
      <c r="A16" s="2" t="inlineStr">
        <is>
          <t>New</t>
        </is>
      </c>
      <c r="B16" s="2">
        <f>SUMPRODUCT((IF($B$2="All",1,--(tblWorkOrders[Site]=$B$2)))*(IF($B$3="All",1,--(tblWorkOrders[Job_Category]=$B$3)))*(IF($B$4="All",1,--(tblWorkOrders[Status]=$B$4)))*(IF($B$5="All",1,--(tblWorkOrders[Assigned_To]=$B$5)))*--(tblWorkOrders[Status]=A16))</f>
        <v/>
      </c>
      <c r="C16" s="2" t="n"/>
      <c r="D16" s="2" t="n"/>
    </row>
    <row r="17">
      <c r="A17" s="2" t="inlineStr">
        <is>
          <t>Assigned</t>
        </is>
      </c>
      <c r="B17" s="2">
        <f>SUMPRODUCT((IF($B$2="All",1,--(tblWorkOrders[Site]=$B$2)))*(IF($B$3="All",1,--(tblWorkOrders[Job_Category]=$B$3)))*(IF($B$4="All",1,--(tblWorkOrders[Status]=$B$4)))*(IF($B$5="All",1,--(tblWorkOrders[Assigned_To]=$B$5)))*--(tblWorkOrders[Status]=A17))</f>
        <v/>
      </c>
      <c r="C17" s="2" t="n"/>
      <c r="D17" s="2" t="n"/>
    </row>
    <row r="18">
      <c r="A18" s="2" t="inlineStr">
        <is>
          <t>In Progress</t>
        </is>
      </c>
      <c r="B18" s="2">
        <f>SUMPRODUCT((IF($B$2="All",1,--(tblWorkOrders[Site]=$B$2)))*(IF($B$3="All",1,--(tblWorkOrders[Job_Category]=$B$3)))*(IF($B$4="All",1,--(tblWorkOrders[Status]=$B$4)))*(IF($B$5="All",1,--(tblWorkOrders[Assigned_To]=$B$5)))*--(tblWorkOrders[Status]=A18))</f>
        <v/>
      </c>
      <c r="C18" s="2" t="n"/>
      <c r="D18" s="2" t="n"/>
    </row>
    <row r="19">
      <c r="A19" s="2" t="inlineStr">
        <is>
          <t>On Hold</t>
        </is>
      </c>
      <c r="B19" s="2">
        <f>SUMPRODUCT((IF($B$2="All",1,--(tblWorkOrders[Site]=$B$2)))*(IF($B$3="All",1,--(tblWorkOrders[Job_Category]=$B$3)))*(IF($B$4="All",1,--(tblWorkOrders[Status]=$B$4)))*(IF($B$5="All",1,--(tblWorkOrders[Assigned_To]=$B$5)))*--(tblWorkOrders[Status]=A19))</f>
        <v/>
      </c>
      <c r="C19" s="2" t="n"/>
      <c r="D19" s="2" t="n"/>
    </row>
    <row r="20">
      <c r="A20" s="2" t="inlineStr">
        <is>
          <t>Closed</t>
        </is>
      </c>
      <c r="B20" s="2">
        <f>SUMPRODUCT((IF($B$2="All",1,--(tblWorkOrders[Site]=$B$2)))*(IF($B$3="All",1,--(tblWorkOrders[Job_Category]=$B$3)))*(IF($B$4="All",1,--(tblWorkOrders[Status]=$B$4)))*(IF($B$5="All",1,--(tblWorkOrders[Assigned_To]=$B$5)))*--(tblWorkOrders[Status]=A20))</f>
        <v/>
      </c>
      <c r="C20" s="2" t="n"/>
      <c r="D20" s="2" t="n"/>
    </row>
    <row r="21">
      <c r="A21" s="2" t="inlineStr">
        <is>
          <t>Cancelled</t>
        </is>
      </c>
      <c r="B21" s="2">
        <f>SUMPRODUCT((IF($B$2="All",1,--(tblWorkOrders[Site]=$B$2)))*(IF($B$3="All",1,--(tblWorkOrders[Job_Category]=$B$3)))*(IF($B$4="All",1,--(tblWorkOrders[Status]=$B$4)))*(IF($B$5="All",1,--(tblWorkOrders[Assigned_To]=$B$5)))*--(tblWorkOrders[Status]=A21))</f>
        <v/>
      </c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inlineStr">
        <is>
          <t>Work orders by category</t>
        </is>
      </c>
      <c r="B24" s="2" t="inlineStr">
        <is>
          <t>Count</t>
        </is>
      </c>
      <c r="C24" s="2" t="n"/>
      <c r="D24" s="2" t="n"/>
    </row>
    <row r="25">
      <c r="A25" s="2" t="inlineStr">
        <is>
          <t>HVAC</t>
        </is>
      </c>
      <c r="B25" s="2">
        <f>SUMPRODUCT((IF($B$2="All",1,--(tblWorkOrders[Site]=$B$2)))*(IF($B$3="All",1,--(tblWorkOrders[Job_Category]=$B$3)))*(IF($B$4="All",1,--(tblWorkOrders[Status]=$B$4)))*(IF($B$5="All",1,--(tblWorkOrders[Assigned_To]=$B$5)))*--(tblWorkOrders[Job_Category]=A25))</f>
        <v/>
      </c>
      <c r="C25" s="2" t="n"/>
      <c r="D25" s="2" t="n"/>
    </row>
    <row r="26">
      <c r="A26" s="2" t="inlineStr">
        <is>
          <t>Electrical</t>
        </is>
      </c>
      <c r="B26" s="2">
        <f>SUMPRODUCT((IF($B$2="All",1,--(tblWorkOrders[Site]=$B$2)))*(IF($B$3="All",1,--(tblWorkOrders[Job_Category]=$B$3)))*(IF($B$4="All",1,--(tblWorkOrders[Status]=$B$4)))*(IF($B$5="All",1,--(tblWorkOrders[Assigned_To]=$B$5)))*--(tblWorkOrders[Job_Category]=A26))</f>
        <v/>
      </c>
      <c r="C26" s="2" t="n"/>
      <c r="D26" s="2" t="n"/>
    </row>
    <row r="27">
      <c r="A27" s="2" t="inlineStr">
        <is>
          <t>Plumbing</t>
        </is>
      </c>
      <c r="B27" s="2">
        <f>SUMPRODUCT((IF($B$2="All",1,--(tblWorkOrders[Site]=$B$2)))*(IF($B$3="All",1,--(tblWorkOrders[Job_Category]=$B$3)))*(IF($B$4="All",1,--(tblWorkOrders[Status]=$B$4)))*(IF($B$5="All",1,--(tblWorkOrders[Assigned_To]=$B$5)))*--(tblWorkOrders[Job_Category]=A27))</f>
        <v/>
      </c>
      <c r="C27" s="2" t="n"/>
      <c r="D27" s="2" t="n"/>
    </row>
    <row r="28">
      <c r="A28" s="2" t="inlineStr">
        <is>
          <t>Fire Safety</t>
        </is>
      </c>
      <c r="B28" s="2">
        <f>SUMPRODUCT((IF($B$2="All",1,--(tblWorkOrders[Site]=$B$2)))*(IF($B$3="All",1,--(tblWorkOrders[Job_Category]=$B$3)))*(IF($B$4="All",1,--(tblWorkOrders[Status]=$B$4)))*(IF($B$5="All",1,--(tblWorkOrders[Assigned_To]=$B$5)))*--(tblWorkOrders[Job_Category]=A28))</f>
        <v/>
      </c>
      <c r="C28" s="2" t="n"/>
      <c r="D28" s="2" t="n"/>
    </row>
    <row r="29">
      <c r="A29" s="2" t="inlineStr">
        <is>
          <t>General Repair</t>
        </is>
      </c>
      <c r="B29" s="2">
        <f>SUMPRODUCT((IF($B$2="All",1,--(tblWorkOrders[Site]=$B$2)))*(IF($B$3="All",1,--(tblWorkOrders[Job_Category]=$B$3)))*(IF($B$4="All",1,--(tblWorkOrders[Status]=$B$4)))*(IF($B$5="All",1,--(tblWorkOrders[Assigned_To]=$B$5)))*--(tblWorkOrders[Job_Category]=A29))</f>
        <v/>
      </c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inlineStr">
        <is>
          <t>Work orders by site</t>
        </is>
      </c>
      <c r="B33" s="2" t="inlineStr">
        <is>
          <t>Count</t>
        </is>
      </c>
      <c r="C33" s="2" t="n"/>
      <c r="D33" s="2" t="n"/>
    </row>
    <row r="34">
      <c r="A34" s="2" t="inlineStr">
        <is>
          <t>Woodlands Hub</t>
        </is>
      </c>
      <c r="B34" s="2">
        <f>SUMPRODUCT((IF($B$2="All",1,--(tblWorkOrders[Site]=$B$2)))*(IF($B$3="All",1,--(tblWorkOrders[Job_Category]=$B$3)))*(IF($B$4="All",1,--(tblWorkOrders[Status]=$B$4)))*(IF($B$5="All",1,--(tblWorkOrders[Assigned_To]=$B$5)))*--(tblWorkOrders[Site]=A34))</f>
        <v/>
      </c>
      <c r="C34" s="2" t="n"/>
      <c r="D34" s="2" t="n"/>
    </row>
    <row r="35">
      <c r="A35" s="2" t="inlineStr">
        <is>
          <t>Jurong Depot</t>
        </is>
      </c>
      <c r="B35" s="2">
        <f>SUMPRODUCT((IF($B$2="All",1,--(tblWorkOrders[Site]=$B$2)))*(IF($B$3="All",1,--(tblWorkOrders[Job_Category]=$B$3)))*(IF($B$4="All",1,--(tblWorkOrders[Status]=$B$4)))*(IF($B$5="All",1,--(tblWorkOrders[Assigned_To]=$B$5)))*--(tblWorkOrders[Site]=A35))</f>
        <v/>
      </c>
      <c r="C35" s="2" t="n"/>
      <c r="D35" s="2" t="n"/>
    </row>
    <row r="36">
      <c r="A36" s="2" t="inlineStr">
        <is>
          <t>Tampines Centre</t>
        </is>
      </c>
      <c r="B36" s="2">
        <f>SUMPRODUCT((IF($B$2="All",1,--(tblWorkOrders[Site]=$B$2)))*(IF($B$3="All",1,--(tblWorkOrders[Job_Category]=$B$3)))*(IF($B$4="All",1,--(tblWorkOrders[Status]=$B$4)))*(IF($B$5="All",1,--(tblWorkOrders[Assigned_To]=$B$5)))*--(tblWorkOrders[Site]=A36))</f>
        <v/>
      </c>
      <c r="C36" s="2" t="n"/>
      <c r="D36" s="2" t="n"/>
    </row>
    <row r="37">
      <c r="A37" s="2" t="inlineStr">
        <is>
          <t>Paya Lebar Office</t>
        </is>
      </c>
      <c r="B37" s="2">
        <f>SUMPRODUCT((IF($B$2="All",1,--(tblWorkOrders[Site]=$B$2)))*(IF($B$3="All",1,--(tblWorkOrders[Job_Category]=$B$3)))*(IF($B$4="All",1,--(tblWorkOrders[Status]=$B$4)))*(IF($B$5="All",1,--(tblWorkOrders[Assigned_To]=$B$5)))*--(tblWorkOrders[Site]=A37))</f>
        <v/>
      </c>
      <c r="C37" s="2" t="n"/>
      <c r="D37" s="2" t="n"/>
    </row>
    <row r="38">
      <c r="A38" s="2" t="inlineStr">
        <is>
          <t>Changi Workshop</t>
        </is>
      </c>
      <c r="B38" s="2">
        <f>SUMPRODUCT((IF($B$2="All",1,--(tblWorkOrders[Site]=$B$2)))*(IF($B$3="All",1,--(tblWorkOrders[Job_Category]=$B$3)))*(IF($B$4="All",1,--(tblWorkOrders[Status]=$B$4)))*(IF($B$5="All",1,--(tblWorkOrders[Assigned_To]=$B$5)))*--(tblWorkOrders[Site]=A38))</f>
        <v/>
      </c>
      <c r="C38" s="2" t="n"/>
      <c r="D38" s="2" t="n"/>
    </row>
  </sheetData>
  <autoFilter ref="A1:D38"/>
  <dataValidations count="4">
    <dataValidation sqref="B2" showDropDown="0" showInputMessage="0" showErrorMessage="0" allowBlank="0" type="list">
      <formula1>'Filter_Lists'!$A$1:$A$6</formula1>
    </dataValidation>
    <dataValidation sqref="B3" showDropDown="0" showInputMessage="0" showErrorMessage="0" allowBlank="0" type="list">
      <formula1>'Filter_Lists'!$B$1:$B$6</formula1>
    </dataValidation>
    <dataValidation sqref="B4" showDropDown="0" showInputMessage="0" showErrorMessage="0" allowBlank="0" type="list">
      <formula1>'Filter_Lists'!$C$1:$C$7</formula1>
    </dataValidation>
    <dataValidation sqref="B5" showDropDown="0" showInputMessage="0" showErrorMessage="0" allowBlank="0" type="list">
      <formula1>'Filter_Lists'!$D$1:$D$9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Woodlands Hub</t>
        </is>
      </c>
      <c r="B2" t="inlineStr">
        <is>
          <t>HVAC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Jurong Depot</t>
        </is>
      </c>
      <c r="B3" t="inlineStr">
        <is>
          <t>Electrical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Tampines Centre</t>
        </is>
      </c>
      <c r="B4" t="inlineStr">
        <is>
          <t>Plumbing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Paya Lebar Office</t>
        </is>
      </c>
      <c r="B5" t="inlineStr">
        <is>
          <t>Fire Safety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Changi Workshop</t>
        </is>
      </c>
      <c r="B6" t="inlineStr">
        <is>
          <t>General Repair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2026-10-13T11:09:45Z</dcterms:created>
  <dcterms:modified xmlns:dcterms="http://purl.org/dc/terms/" xmlns:xsi="http://www.w3.org/2001/XMLSchema-instance" xsi:type="dcterms:W3CDTF">2026-10-13T11:09:45Z</dcterms:modified>
</cp:coreProperties>
</file>